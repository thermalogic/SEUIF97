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EU\SEE\PySEE\SEUIF97\ExcelVBA\"/>
    </mc:Choice>
  </mc:AlternateContent>
  <xr:revisionPtr revIDLastSave="0" documentId="13_ncr:1_{B0F987D7-989B-49AE-8063-9483AF4C7B3F}" xr6:coauthVersionLast="40" xr6:coauthVersionMax="40" xr10:uidLastSave="{00000000-0000-0000-0000-000000000000}"/>
  <bookViews>
    <workbookView xWindow="0" yWindow="105" windowWidth="15075" windowHeight="4455" xr2:uid="{00000000-000D-0000-FFFF-FFFF00000000}"/>
  </bookViews>
  <sheets>
    <sheet name="SEUIF97" sheetId="1" r:id="rId1"/>
  </sheets>
  <functionGroups builtInGroupCount="19"/>
  <externalReferences>
    <externalReference r:id="rId2"/>
  </externalReferences>
  <calcPr calcId="181029"/>
</workbook>
</file>

<file path=xl/calcChain.xml><?xml version="1.0" encoding="utf-8"?>
<calcChain xmlns="http://schemas.openxmlformats.org/spreadsheetml/2006/main">
  <c r="A12" i="1" l="1"/>
  <c r="A9" i="1"/>
  <c r="A6" i="1"/>
  <c r="C2" i="1"/>
  <c r="E2" i="1"/>
  <c r="D2" i="1"/>
  <c r="A21" i="1" l="1"/>
  <c r="A18" i="1"/>
  <c r="A15" i="1"/>
  <c r="B21" i="1" l="1"/>
  <c r="B24" i="1"/>
  <c r="B18" i="1"/>
  <c r="A24" i="1"/>
  <c r="B15" i="1"/>
  <c r="B12" i="1"/>
  <c r="B9" i="1"/>
  <c r="B6" i="1"/>
  <c r="C21" i="1"/>
  <c r="C18" i="1"/>
  <c r="D6" i="1"/>
  <c r="D24" i="1"/>
  <c r="E18" i="1"/>
  <c r="D21" i="1"/>
  <c r="C15" i="1"/>
  <c r="D9" i="1"/>
  <c r="E15" i="1"/>
  <c r="C6" i="1"/>
  <c r="E21" i="1"/>
  <c r="D15" i="1"/>
  <c r="E9" i="1"/>
  <c r="C9" i="1"/>
  <c r="D12" i="1"/>
  <c r="E6" i="1"/>
  <c r="C24" i="1"/>
  <c r="E12" i="1"/>
  <c r="D18" i="1"/>
  <c r="E24" i="1"/>
  <c r="C12" i="1"/>
</calcChain>
</file>

<file path=xl/sharedStrings.xml><?xml version="1.0" encoding="utf-8"?>
<sst xmlns="http://schemas.openxmlformats.org/spreadsheetml/2006/main" count="57" uniqueCount="17">
  <si>
    <r>
      <t>T [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>C]</t>
    </r>
  </si>
  <si>
    <t>P [MPa]</t>
  </si>
  <si>
    <r>
      <t>v [m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/kg]</t>
    </r>
  </si>
  <si>
    <r>
      <t>s [kJ/kg</t>
    </r>
    <r>
      <rPr>
        <b/>
        <sz val="10"/>
        <rFont val="Arial"/>
        <family val="2"/>
      </rPr>
      <t>·</t>
    </r>
    <r>
      <rPr>
        <b/>
        <sz val="10"/>
        <rFont val="Arial"/>
        <family val="2"/>
      </rPr>
      <t>K]</t>
    </r>
  </si>
  <si>
    <t>h [kJ/kg]</t>
  </si>
  <si>
    <t>Cell Formulation</t>
  </si>
  <si>
    <t xml:space="preserve"> VBA Macro</t>
  </si>
  <si>
    <t>s [kJ/kg·K]</t>
  </si>
  <si>
    <t>v [m3/kg]</t>
  </si>
  <si>
    <t>h</t>
  </si>
  <si>
    <t>p</t>
  </si>
  <si>
    <t>t</t>
  </si>
  <si>
    <t>s</t>
  </si>
  <si>
    <t>v</t>
  </si>
  <si>
    <t>ID</t>
  </si>
  <si>
    <t>d</t>
  </si>
  <si>
    <t>Property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</si>
</sst>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7"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1"/>
      <color rgb="FFC00000"/>
      <name val="Calibri"/>
      <family val="3"/>
      <charset val="134"/>
      <scheme val="minor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b/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0" applyFont="1">
      <alignment vertical="center"/>
    </xf>
    <xf numFmtId="2" fontId="0" fillId="0" borderId="0" xfId="0" applyNumberFormat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4" fillId="2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4" borderId="1" xfId="0" applyFont="1" applyFill="1" applyBorder="1" applyAlignment="1">
      <alignment horizont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4" fillId="2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4" fillId="4" borderId="1" xfId="0" applyFont="1" applyFill="1" applyBorder="1" applyAlignment="1">
      <alignment horizontal="center"/>
    </xf>
    <xf numFmtId="0" fontId="6" fillId="0" borderId="0" xfId="0" applyFont="1" applyAlignment="1">
      <alignment horizontal="center" vertical="center" readingOrder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</xdr:row>
          <xdr:rowOff>47625</xdr:rowOff>
        </xdr:from>
        <xdr:to>
          <xdr:col>7</xdr:col>
          <xdr:colOff>561975</xdr:colOff>
          <xdr:row>3</xdr:row>
          <xdr:rowOff>142875</xdr:rowOff>
        </xdr:to>
        <xdr:sp macro="" textlink="">
          <xdr:nvSpPr>
            <xdr:cNvPr id="3073" name="CalCmdBt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76200</xdr:colOff>
      <xdr:row>1</xdr:row>
      <xdr:rowOff>19050</xdr:rowOff>
    </xdr:from>
    <xdr:to>
      <xdr:col>7</xdr:col>
      <xdr:colOff>533400</xdr:colOff>
      <xdr:row>2</xdr:row>
      <xdr:rowOff>0</xdr:rowOff>
    </xdr:to>
    <xdr:sp macro="" textlink="">
      <xdr:nvSpPr>
        <xdr:cNvPr id="3" name="Text Box 4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>
          <a:spLocks noChangeArrowheads="1"/>
        </xdr:cNvSpPr>
      </xdr:nvSpPr>
      <xdr:spPr bwMode="auto">
        <a:xfrm>
          <a:off x="5419725" y="209550"/>
          <a:ext cx="1066800" cy="17145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</a:t>
          </a:r>
          <a:r>
            <a:rPr lang="en-US" altLang="zh-CN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if97</a:t>
          </a: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pt(p  t , ID)</a:t>
          </a:r>
        </a:p>
        <a:p>
          <a:pPr algn="l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6</xdr:col>
      <xdr:colOff>95250</xdr:colOff>
      <xdr:row>5</xdr:row>
      <xdr:rowOff>19049</xdr:rowOff>
    </xdr:from>
    <xdr:to>
      <xdr:col>7</xdr:col>
      <xdr:colOff>533400</xdr:colOff>
      <xdr:row>6</xdr:row>
      <xdr:rowOff>9524</xdr:rowOff>
    </xdr:to>
    <xdr:sp macro="" textlink="">
      <xdr:nvSpPr>
        <xdr:cNvPr id="4" name="Text Box 4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5438775" y="971549"/>
          <a:ext cx="1047750" cy="180975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if97ph(p, h , ID)</a:t>
          </a:r>
        </a:p>
      </xdr:txBody>
    </xdr:sp>
    <xdr:clientData/>
  </xdr:twoCellAnchor>
  <xdr:twoCellAnchor>
    <xdr:from>
      <xdr:col>6</xdr:col>
      <xdr:colOff>142876</xdr:colOff>
      <xdr:row>8</xdr:row>
      <xdr:rowOff>19050</xdr:rowOff>
    </xdr:from>
    <xdr:to>
      <xdr:col>7</xdr:col>
      <xdr:colOff>561976</xdr:colOff>
      <xdr:row>9</xdr:row>
      <xdr:rowOff>0</xdr:rowOff>
    </xdr:to>
    <xdr:sp macro="" textlink="">
      <xdr:nvSpPr>
        <xdr:cNvPr id="5" name="Text Box 4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5486401" y="1543050"/>
          <a:ext cx="1028700" cy="17145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if97ps(p , s ,  ID)</a:t>
          </a:r>
        </a:p>
      </xdr:txBody>
    </xdr:sp>
    <xdr:clientData/>
  </xdr:twoCellAnchor>
  <xdr:twoCellAnchor>
    <xdr:from>
      <xdr:col>6</xdr:col>
      <xdr:colOff>123825</xdr:colOff>
      <xdr:row>11</xdr:row>
      <xdr:rowOff>0</xdr:rowOff>
    </xdr:from>
    <xdr:to>
      <xdr:col>7</xdr:col>
      <xdr:colOff>590550</xdr:colOff>
      <xdr:row>11</xdr:row>
      <xdr:rowOff>161925</xdr:rowOff>
    </xdr:to>
    <xdr:sp macro="" textlink="">
      <xdr:nvSpPr>
        <xdr:cNvPr id="6" name="Text Box 44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>
          <a:spLocks noChangeArrowheads="1"/>
        </xdr:cNvSpPr>
      </xdr:nvSpPr>
      <xdr:spPr bwMode="auto">
        <a:xfrm>
          <a:off x="5467350" y="2057400"/>
          <a:ext cx="1076325" cy="161925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if97pv(p ,v,  ID)</a:t>
          </a:r>
        </a:p>
      </xdr:txBody>
    </xdr:sp>
    <xdr:clientData/>
  </xdr:twoCellAnchor>
  <xdr:twoCellAnchor>
    <xdr:from>
      <xdr:col>6</xdr:col>
      <xdr:colOff>47625</xdr:colOff>
      <xdr:row>14</xdr:row>
      <xdr:rowOff>28575</xdr:rowOff>
    </xdr:from>
    <xdr:to>
      <xdr:col>7</xdr:col>
      <xdr:colOff>552450</xdr:colOff>
      <xdr:row>15</xdr:row>
      <xdr:rowOff>28575</xdr:rowOff>
    </xdr:to>
    <xdr:sp macro="" textlink="">
      <xdr:nvSpPr>
        <xdr:cNvPr id="8" name="Text Box 44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>
          <a:spLocks noChangeArrowheads="1"/>
        </xdr:cNvSpPr>
      </xdr:nvSpPr>
      <xdr:spPr bwMode="auto">
        <a:xfrm>
          <a:off x="5391150" y="2657475"/>
          <a:ext cx="1114425" cy="19050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=if97th(t, h ,  ID)</a:t>
          </a:r>
        </a:p>
      </xdr:txBody>
    </xdr:sp>
    <xdr:clientData/>
  </xdr:twoCellAnchor>
  <xdr:twoCellAnchor>
    <xdr:from>
      <xdr:col>6</xdr:col>
      <xdr:colOff>47625</xdr:colOff>
      <xdr:row>17</xdr:row>
      <xdr:rowOff>28575</xdr:rowOff>
    </xdr:from>
    <xdr:to>
      <xdr:col>7</xdr:col>
      <xdr:colOff>552450</xdr:colOff>
      <xdr:row>18</xdr:row>
      <xdr:rowOff>28575</xdr:rowOff>
    </xdr:to>
    <xdr:sp macro="" textlink="">
      <xdr:nvSpPr>
        <xdr:cNvPr id="9" name="Text Box 44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>
          <a:spLocks noChangeArrowheads="1"/>
        </xdr:cNvSpPr>
      </xdr:nvSpPr>
      <xdr:spPr bwMode="auto">
        <a:xfrm>
          <a:off x="5391150" y="2657475"/>
          <a:ext cx="1114425" cy="19050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if97ts(t, s ,  ID)</a:t>
          </a:r>
        </a:p>
      </xdr:txBody>
    </xdr:sp>
    <xdr:clientData/>
  </xdr:twoCellAnchor>
  <xdr:twoCellAnchor>
    <xdr:from>
      <xdr:col>6</xdr:col>
      <xdr:colOff>47625</xdr:colOff>
      <xdr:row>20</xdr:row>
      <xdr:rowOff>28575</xdr:rowOff>
    </xdr:from>
    <xdr:to>
      <xdr:col>7</xdr:col>
      <xdr:colOff>552450</xdr:colOff>
      <xdr:row>21</xdr:row>
      <xdr:rowOff>28575</xdr:rowOff>
    </xdr:to>
    <xdr:sp macro="" textlink="">
      <xdr:nvSpPr>
        <xdr:cNvPr id="10" name="Text Box 44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>
          <a:spLocks noChangeArrowheads="1"/>
        </xdr:cNvSpPr>
      </xdr:nvSpPr>
      <xdr:spPr bwMode="auto">
        <a:xfrm>
          <a:off x="5391150" y="3228975"/>
          <a:ext cx="1114425" cy="19050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if97tv(t, v ,  ID)</a:t>
          </a:r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504825</xdr:colOff>
      <xdr:row>24</xdr:row>
      <xdr:rowOff>0</xdr:rowOff>
    </xdr:to>
    <xdr:sp macro="" textlink="">
      <xdr:nvSpPr>
        <xdr:cNvPr id="12" name="Text Box 44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>
          <a:spLocks noChangeArrowheads="1"/>
        </xdr:cNvSpPr>
      </xdr:nvSpPr>
      <xdr:spPr bwMode="auto">
        <a:xfrm>
          <a:off x="5343525" y="4343400"/>
          <a:ext cx="1114425" cy="19050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if97hs(h, s ,  ID)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\Microsoft%20Office\Root\Office16\xlstart\SEUIF9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if97hs"/>
      <definedName name="if97ph"/>
      <definedName name="if97ps"/>
      <definedName name="if97pt"/>
      <definedName name="if97PV"/>
      <definedName name="if97th"/>
      <definedName name="if97ts"/>
      <definedName name="if97tv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4"/>
  <sheetViews>
    <sheetView tabSelected="1" workbookViewId="0">
      <selection activeCell="O25" sqref="O25"/>
    </sheetView>
  </sheetViews>
  <sheetFormatPr defaultRowHeight="15"/>
  <cols>
    <col min="1" max="2" width="12.7109375" style="1" bestFit="1" customWidth="1"/>
    <col min="3" max="3" width="12.5703125" customWidth="1"/>
    <col min="4" max="4" width="13.42578125" customWidth="1"/>
    <col min="5" max="5" width="12.85546875" customWidth="1"/>
    <col min="6" max="6" width="15.85546875" bestFit="1" customWidth="1"/>
    <col min="11" max="11" width="9.28515625" style="14" bestFit="1" customWidth="1"/>
    <col min="12" max="12" width="9.140625" style="14"/>
  </cols>
  <sheetData>
    <row r="1" spans="1:10">
      <c r="A1" s="8" t="s">
        <v>1</v>
      </c>
      <c r="B1" s="8" t="s">
        <v>0</v>
      </c>
      <c r="C1" s="9" t="s">
        <v>4</v>
      </c>
      <c r="D1" s="9" t="s">
        <v>3</v>
      </c>
      <c r="E1" s="9" t="s">
        <v>2</v>
      </c>
    </row>
    <row r="2" spans="1:10">
      <c r="A2" s="3">
        <v>14.5</v>
      </c>
      <c r="B2" s="3">
        <v>535.1</v>
      </c>
      <c r="C2" s="5">
        <f>[1]!if97pt(A2,B2,4)</f>
        <v>3415.3905964971073</v>
      </c>
      <c r="D2" s="7">
        <f>[1]!if97pt(A2,B2,5)</f>
        <v>6.494172909320147</v>
      </c>
      <c r="E2" s="6">
        <f>[1]!if97pt(A2,B2,3)</f>
        <v>2.3195114811912505E-2</v>
      </c>
      <c r="F2" s="10" t="s">
        <v>5</v>
      </c>
      <c r="I2" s="23" t="s">
        <v>16</v>
      </c>
      <c r="J2" s="14" t="s">
        <v>14</v>
      </c>
    </row>
    <row r="3" spans="1:10">
      <c r="C3" s="4">
        <v>3415.39</v>
      </c>
      <c r="D3" s="4">
        <v>6.4939999999999998</v>
      </c>
      <c r="E3" s="4">
        <v>2.3199999999999998E-2</v>
      </c>
      <c r="F3" s="11" t="s">
        <v>6</v>
      </c>
      <c r="I3" s="14" t="s">
        <v>10</v>
      </c>
      <c r="J3" s="14">
        <v>0</v>
      </c>
    </row>
    <row r="4" spans="1:10">
      <c r="A4" s="2"/>
      <c r="I4" s="14" t="s">
        <v>11</v>
      </c>
      <c r="J4" s="14">
        <v>1</v>
      </c>
    </row>
    <row r="5" spans="1:10">
      <c r="A5" s="8" t="s">
        <v>1</v>
      </c>
      <c r="B5" s="8" t="s">
        <v>4</v>
      </c>
      <c r="C5" s="9" t="s">
        <v>0</v>
      </c>
      <c r="D5" s="9" t="s">
        <v>3</v>
      </c>
      <c r="E5" s="9" t="s">
        <v>2</v>
      </c>
      <c r="I5" s="14" t="s">
        <v>15</v>
      </c>
      <c r="J5" s="14">
        <v>2</v>
      </c>
    </row>
    <row r="6" spans="1:10">
      <c r="A6" s="3">
        <f>A2</f>
        <v>14.5</v>
      </c>
      <c r="B6" s="5">
        <f>C2</f>
        <v>3415.3905964971073</v>
      </c>
      <c r="C6" s="5">
        <f>[1]!if97ph(A6,B6,1)</f>
        <v>535.0999999999998</v>
      </c>
      <c r="D6" s="7">
        <f>[1]!if97ph(A6,B6,5)</f>
        <v>6.494172909320147</v>
      </c>
      <c r="E6" s="6">
        <f>[1]!if97ph(A6,B6,3)</f>
        <v>2.3195114811912491E-2</v>
      </c>
      <c r="F6" s="10" t="s">
        <v>5</v>
      </c>
      <c r="I6" s="14" t="s">
        <v>13</v>
      </c>
      <c r="J6" s="14">
        <v>3</v>
      </c>
    </row>
    <row r="7" spans="1:10">
      <c r="C7" s="4"/>
      <c r="D7" s="4"/>
      <c r="E7" s="4"/>
      <c r="F7" s="11"/>
      <c r="I7" s="14" t="s">
        <v>9</v>
      </c>
      <c r="J7" s="14">
        <v>4</v>
      </c>
    </row>
    <row r="8" spans="1:10">
      <c r="A8" s="8" t="s">
        <v>1</v>
      </c>
      <c r="B8" s="8" t="s">
        <v>7</v>
      </c>
      <c r="C8" s="9" t="s">
        <v>0</v>
      </c>
      <c r="D8" s="9" t="s">
        <v>4</v>
      </c>
      <c r="E8" s="9" t="s">
        <v>2</v>
      </c>
      <c r="I8" s="14" t="s">
        <v>12</v>
      </c>
      <c r="J8" s="14">
        <v>5</v>
      </c>
    </row>
    <row r="9" spans="1:10">
      <c r="A9" s="3">
        <f>A2</f>
        <v>14.5</v>
      </c>
      <c r="B9" s="5">
        <f>D2</f>
        <v>6.494172909320147</v>
      </c>
      <c r="C9" s="5">
        <f>[1]!if97ps(A9,B9,1)</f>
        <v>535.10000000000025</v>
      </c>
      <c r="D9" s="7">
        <f>[1]!if97ps(A9,B9,4)</f>
        <v>3415.3905964971091</v>
      </c>
      <c r="E9" s="6">
        <f>[1]!if97ps(A9,B9,3)</f>
        <v>2.3195114811912516E-2</v>
      </c>
      <c r="F9" s="10" t="s">
        <v>5</v>
      </c>
    </row>
    <row r="10" spans="1:10" ht="12" customHeight="1"/>
    <row r="11" spans="1:10">
      <c r="A11" s="8" t="s">
        <v>1</v>
      </c>
      <c r="B11" s="8" t="s">
        <v>8</v>
      </c>
      <c r="C11" s="9" t="s">
        <v>0</v>
      </c>
      <c r="D11" s="9" t="s">
        <v>4</v>
      </c>
      <c r="E11" s="9" t="s">
        <v>3</v>
      </c>
    </row>
    <row r="12" spans="1:10">
      <c r="A12" s="3">
        <f>A2</f>
        <v>14.5</v>
      </c>
      <c r="B12" s="6">
        <f>E2</f>
        <v>2.3195114811912505E-2</v>
      </c>
      <c r="C12" s="5">
        <f>[1]!if97PV(A12,B12,1)</f>
        <v>535.1</v>
      </c>
      <c r="D12" s="7">
        <f>[1]!if97PV(A12,B12,4)</f>
        <v>3415.3905964971073</v>
      </c>
      <c r="E12" s="6">
        <f>[1]!if97PV(A12,B12,5)</f>
        <v>6.494172909320147</v>
      </c>
      <c r="F12" s="21" t="s">
        <v>5</v>
      </c>
    </row>
    <row r="14" spans="1:10">
      <c r="A14" s="12" t="s">
        <v>0</v>
      </c>
      <c r="B14" s="12" t="s">
        <v>4</v>
      </c>
      <c r="C14" s="9" t="s">
        <v>1</v>
      </c>
      <c r="D14" s="9" t="s">
        <v>3</v>
      </c>
      <c r="E14" s="9" t="s">
        <v>8</v>
      </c>
      <c r="G14" s="21"/>
    </row>
    <row r="15" spans="1:10">
      <c r="A15" s="3">
        <f>B2</f>
        <v>535.1</v>
      </c>
      <c r="B15" s="6">
        <f>C2</f>
        <v>3415.3905964971073</v>
      </c>
      <c r="C15" s="5">
        <f>[1]!if97th(A15,B15,0)</f>
        <v>14.500000000000039</v>
      </c>
      <c r="D15" s="7">
        <f>[1]!if97th(A15,B15,5)</f>
        <v>6.4941729093201452</v>
      </c>
      <c r="E15" s="6">
        <f>[1]!if97th(A15,B15,3)</f>
        <v>2.3195114811912436E-2</v>
      </c>
      <c r="F15" s="21" t="s">
        <v>5</v>
      </c>
    </row>
    <row r="17" spans="1:8">
      <c r="A17" s="22" t="s">
        <v>0</v>
      </c>
      <c r="B17" s="19" t="s">
        <v>7</v>
      </c>
      <c r="C17" s="20" t="s">
        <v>1</v>
      </c>
      <c r="D17" s="20" t="s">
        <v>4</v>
      </c>
      <c r="E17" s="20" t="s">
        <v>8</v>
      </c>
      <c r="F17" s="13"/>
      <c r="G17" s="21"/>
      <c r="H17" s="13"/>
    </row>
    <row r="18" spans="1:8">
      <c r="A18" s="15">
        <f>B2</f>
        <v>535.1</v>
      </c>
      <c r="B18" s="17">
        <f>D2</f>
        <v>6.494172909320147</v>
      </c>
      <c r="C18" s="16">
        <f>[1]!if97ts(A18,B18,0)</f>
        <v>14.499999999999993</v>
      </c>
      <c r="D18" s="18">
        <f>[1]!if97ts(A18,B18,4)</f>
        <v>3415.3905964971077</v>
      </c>
      <c r="E18" s="17">
        <f>[1]!if97ts(A18,B18,3)</f>
        <v>2.3195114811912519E-2</v>
      </c>
      <c r="F18" s="21" t="s">
        <v>5</v>
      </c>
      <c r="G18" s="13"/>
      <c r="H18" s="13"/>
    </row>
    <row r="20" spans="1:8">
      <c r="A20" s="22" t="s">
        <v>0</v>
      </c>
      <c r="B20" s="19" t="s">
        <v>8</v>
      </c>
      <c r="C20" s="20" t="s">
        <v>1</v>
      </c>
      <c r="D20" s="20" t="s">
        <v>4</v>
      </c>
      <c r="E20" s="20" t="s">
        <v>3</v>
      </c>
    </row>
    <row r="21" spans="1:8">
      <c r="A21" s="15">
        <f>B2</f>
        <v>535.1</v>
      </c>
      <c r="B21" s="17">
        <f>E2</f>
        <v>2.3195114811912505E-2</v>
      </c>
      <c r="C21" s="16">
        <f>[1]!if97tv(A21,B21,0)</f>
        <v>14.500000000000004</v>
      </c>
      <c r="D21" s="18">
        <f>[1]!if97tv(A21,B21,4)</f>
        <v>3415.3905964971073</v>
      </c>
      <c r="E21" s="17">
        <f>[1]!if97tv(A21,B21,5)</f>
        <v>6.494172909320147</v>
      </c>
      <c r="F21" s="21" t="s">
        <v>5</v>
      </c>
      <c r="G21" s="13"/>
      <c r="H21" s="13"/>
    </row>
    <row r="23" spans="1:8">
      <c r="A23" s="22" t="s">
        <v>4</v>
      </c>
      <c r="B23" s="19" t="s">
        <v>7</v>
      </c>
      <c r="C23" s="20" t="s">
        <v>1</v>
      </c>
      <c r="D23" s="20" t="s">
        <v>0</v>
      </c>
      <c r="E23" s="20" t="s">
        <v>8</v>
      </c>
    </row>
    <row r="24" spans="1:8">
      <c r="A24" s="16">
        <f>C2</f>
        <v>3415.3905964971073</v>
      </c>
      <c r="B24" s="17">
        <f>D2</f>
        <v>6.494172909320147</v>
      </c>
      <c r="C24" s="16">
        <f>[1]!if97hs(A24,B24,0)</f>
        <v>14.499999999999931</v>
      </c>
      <c r="D24" s="16">
        <f>[1]!if97hs(A24,B24,1)</f>
        <v>535.09999999999957</v>
      </c>
      <c r="E24" s="17">
        <f>[1]!if97hs(A24,B24,3)</f>
        <v>2.3195114811912609E-2</v>
      </c>
      <c r="F24" s="21" t="s">
        <v>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alCmdBtn">
          <controlPr defaultSize="0" autoLine="0" autoPict="0" r:id="rId5">
            <anchor moveWithCells="1">
              <from>
                <xdr:col>6</xdr:col>
                <xdr:colOff>28575</xdr:colOff>
                <xdr:row>2</xdr:row>
                <xdr:rowOff>47625</xdr:rowOff>
              </from>
              <to>
                <xdr:col>7</xdr:col>
                <xdr:colOff>561975</xdr:colOff>
                <xdr:row>3</xdr:row>
                <xdr:rowOff>142875</xdr:rowOff>
              </to>
            </anchor>
          </controlPr>
        </control>
      </mc:Choice>
      <mc:Fallback>
        <control shapeId="3073" r:id="rId4" name="CalCmdBt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SEUIF97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Hydro</dc:creator>
  <cp:lastModifiedBy>Maohua Cheng</cp:lastModifiedBy>
  <dcterms:created xsi:type="dcterms:W3CDTF">2015-05-16T10:16:51Z</dcterms:created>
  <dcterms:modified xsi:type="dcterms:W3CDTF">2019-01-15T07:52:22Z</dcterms:modified>
</cp:coreProperties>
</file>